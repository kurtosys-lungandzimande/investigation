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unga.ndzimande/Documents/Company-Projects/Nordea/"/>
    </mc:Choice>
  </mc:AlternateContent>
  <xr:revisionPtr revIDLastSave="0" documentId="8_{1D4BCA1B-ACFB-8D4F-AF3B-CB9D0D4ABA95}" xr6:coauthVersionLast="47" xr6:coauthVersionMax="47" xr10:uidLastSave="{00000000-0000-0000-0000-000000000000}"/>
  <bookViews>
    <workbookView xWindow="0" yWindow="660" windowWidth="32920" windowHeight="20380" tabRatio="500" xr2:uid="{00000000-000D-0000-FFFF-FFFF00000000}"/>
  </bookViews>
  <sheets>
    <sheet name="Published pages" sheetId="1" r:id="rId1"/>
    <sheet name="Jul-24 vs Now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F45" i="1"/>
  <c r="E45" i="1"/>
  <c r="C6" i="1"/>
  <c r="C5" i="2" s="1"/>
  <c r="B6" i="1"/>
  <c r="E5" i="2" s="1"/>
  <c r="C5" i="1"/>
  <c r="C6" i="2" s="1"/>
  <c r="D6" i="2" s="1"/>
  <c r="B5" i="1"/>
  <c r="B7" i="1" s="1"/>
  <c r="C7" i="2" l="1"/>
  <c r="D7" i="2" s="1"/>
  <c r="D5" i="2"/>
  <c r="C7" i="1"/>
  <c r="E6" i="2"/>
  <c r="E7" i="2" s="1"/>
</calcChain>
</file>

<file path=xl/sharedStrings.xml><?xml version="1.0" encoding="utf-8"?>
<sst xmlns="http://schemas.openxmlformats.org/spreadsheetml/2006/main" count="167" uniqueCount="83">
  <si>
    <t>Nordea TECH-4447 - Total published pages (NIFSA + NAM Global)</t>
  </si>
  <si>
    <t>Production, 6 Oct 2026. Published pages = page posts. Published items = pages, posts, team, locations, image-boxes and engine items.</t>
  </si>
  <si>
    <t>Summary</t>
  </si>
  <si>
    <t>Published pages</t>
  </si>
  <si>
    <t>Published items</t>
  </si>
  <si>
    <t>NIFSA (34 sites)</t>
  </si>
  <si>
    <t>NAM Global (1 site)</t>
  </si>
  <si>
    <t>TOTAL</t>
  </si>
  <si>
    <t>Domain</t>
  </si>
  <si>
    <t>Link path</t>
  </si>
  <si>
    <t>Investor type</t>
  </si>
  <si>
    <t>Language</t>
  </si>
  <si>
    <t>AT</t>
  </si>
  <si>
    <t>/at/de/professional</t>
  </si>
  <si>
    <t>Professional</t>
  </si>
  <si>
    <t>de</t>
  </si>
  <si>
    <t>/at/de/private</t>
  </si>
  <si>
    <t>Private</t>
  </si>
  <si>
    <t>BE</t>
  </si>
  <si>
    <t>/be/fr/professional</t>
  </si>
  <si>
    <t>fr</t>
  </si>
  <si>
    <t>/be/fr/private</t>
  </si>
  <si>
    <t>/be/nl/professional</t>
  </si>
  <si>
    <t>nl</t>
  </si>
  <si>
    <t>/be/nl/private</t>
  </si>
  <si>
    <t>CH</t>
  </si>
  <si>
    <t>/ch/en/professional</t>
  </si>
  <si>
    <t>en</t>
  </si>
  <si>
    <t>/ch/en/private</t>
  </si>
  <si>
    <t>/ch/de/professional</t>
  </si>
  <si>
    <t>/ch/de/private</t>
  </si>
  <si>
    <t>/ch/fr/professional</t>
  </si>
  <si>
    <t>/ch/fr/private</t>
  </si>
  <si>
    <t>DE</t>
  </si>
  <si>
    <t>/de/de/professional</t>
  </si>
  <si>
    <t>/de/de/private</t>
  </si>
  <si>
    <t>ES</t>
  </si>
  <si>
    <t>/es/es/professional</t>
  </si>
  <si>
    <t>es</t>
  </si>
  <si>
    <t>/es/es/private</t>
  </si>
  <si>
    <t>FR</t>
  </si>
  <si>
    <t>/fr/fr/professional</t>
  </si>
  <si>
    <t>/fr/fr/private</t>
  </si>
  <si>
    <t>IT</t>
  </si>
  <si>
    <t>/it/it/professional</t>
  </si>
  <si>
    <t>it</t>
  </si>
  <si>
    <t>/it/it/private</t>
  </si>
  <si>
    <t>LU</t>
  </si>
  <si>
    <t>/lu/en/professional</t>
  </si>
  <si>
    <t>/lu/en/private</t>
  </si>
  <si>
    <t>/lu/de/professional</t>
  </si>
  <si>
    <t>/lu/de/private</t>
  </si>
  <si>
    <t>/lu/fr/professional</t>
  </si>
  <si>
    <t>/lu/fr/private</t>
  </si>
  <si>
    <t>NL</t>
  </si>
  <si>
    <t>/nl/nl/professional</t>
  </si>
  <si>
    <t>/nl/nl/private</t>
  </si>
  <si>
    <t>PT</t>
  </si>
  <si>
    <t>/pt/pt/professional</t>
  </si>
  <si>
    <t>pt</t>
  </si>
  <si>
    <t>/pt/pt/private</t>
  </si>
  <si>
    <t>SG</t>
  </si>
  <si>
    <t>/sg/en/institutional</t>
  </si>
  <si>
    <t>Institutional / Accredited</t>
  </si>
  <si>
    <t>/sg/en/other-investors</t>
  </si>
  <si>
    <t>Other investors</t>
  </si>
  <si>
    <t>UK</t>
  </si>
  <si>
    <t>/uk/en/professional</t>
  </si>
  <si>
    <t>/uk/en/private</t>
  </si>
  <si>
    <t>NAM Global</t>
  </si>
  <si>
    <t>/nordeaassetmanagement</t>
  </si>
  <si>
    <t>Global</t>
  </si>
  <si>
    <t>Total</t>
  </si>
  <si>
    <t>Published content: Jul-24 vs now (same layout as Nordea's Jul-24 figures)</t>
  </si>
  <si>
    <t>Jul-24 figures were quoted by Nordea as 'published items'. We could not reproduce how they were counted.</t>
  </si>
  <si>
    <t>Group</t>
  </si>
  <si>
    <t>Jul-24 (Nordea, published items)</t>
  </si>
  <si>
    <t>Now: published items (6 Oct 2026)</t>
  </si>
  <si>
    <t>Difference</t>
  </si>
  <si>
    <t>Now: published pages only</t>
  </si>
  <si>
    <t>NIFSA sites</t>
  </si>
  <si>
    <t>Published items = pages, posts, team, locations, image-boxes and kurtosys-engine items (excludes media, revisions, menus, Elementor templates).</t>
  </si>
  <si>
    <t>The ticket asks for pages, so the headline answer is the pages-only column (795). Compare Jul-24 only with the items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</si>
</sst>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0"/>
  </numFmts>
  <fonts count="12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2"/>
      <color rgb="FFFF000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theme="3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7" fillId="3" borderId="1" xfId="0" applyFont="1" applyFill="1" applyBorder="1"/>
    <xf numFmtId="0" fontId="8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164" fontId="6" fillId="0" borderId="1" xfId="0" applyNumberFormat="1" applyFont="1" applyBorder="1"/>
    <xf numFmtId="164" fontId="7" fillId="3" borderId="1" xfId="0" applyNumberFormat="1" applyFont="1" applyFill="1" applyBorder="1"/>
    <xf numFmtId="0" fontId="9" fillId="0" borderId="0" xfId="0" applyFont="1"/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zoomScaleNormal="100" workbookViewId="0">
      <pane ySplit="9" topLeftCell="A10" activePane="bottomLeft" state="frozen"/>
      <selection pane="bottomLeft" activeCell="L37" sqref="L37"/>
    </sheetView>
  </sheetViews>
  <sheetFormatPr baseColWidth="10" defaultColWidth="8.6640625" defaultRowHeight="15" x14ac:dyDescent="0.2"/>
  <cols>
    <col min="1" max="1" width="24" customWidth="1"/>
    <col min="2" max="3" width="26" customWidth="1"/>
    <col min="4" max="4" width="10" customWidth="1"/>
    <col min="5" max="6" width="16" customWidth="1"/>
  </cols>
  <sheetData>
    <row r="1" spans="1:6" ht="17" x14ac:dyDescent="0.2">
      <c r="A1" s="1" t="s">
        <v>0</v>
      </c>
    </row>
    <row r="2" spans="1:6" ht="16" x14ac:dyDescent="0.2">
      <c r="A2" s="15" t="s">
        <v>1</v>
      </c>
    </row>
    <row r="4" spans="1:6" x14ac:dyDescent="0.2">
      <c r="A4" s="3" t="s">
        <v>2</v>
      </c>
      <c r="B4" s="3" t="s">
        <v>3</v>
      </c>
      <c r="C4" s="3" t="s">
        <v>4</v>
      </c>
    </row>
    <row r="5" spans="1:6" x14ac:dyDescent="0.2">
      <c r="A5" s="4" t="s">
        <v>5</v>
      </c>
      <c r="B5" s="5">
        <f>SUMIFS(E10:E44,A10:A44,"&lt;&gt;NAM Global")</f>
        <v>771</v>
      </c>
      <c r="C5" s="5">
        <f>SUMIFS(F10:F44,A10:A44,"&lt;&gt;NAM Global")</f>
        <v>6320</v>
      </c>
    </row>
    <row r="6" spans="1:6" x14ac:dyDescent="0.2">
      <c r="A6" s="4" t="s">
        <v>6</v>
      </c>
      <c r="B6" s="5">
        <f>SUMIFS(E10:E44,A10:A44,"NAM Global")</f>
        <v>24</v>
      </c>
      <c r="C6" s="5">
        <f>SUMIFS(F10:F44,A10:A44,"NAM Global")</f>
        <v>238</v>
      </c>
    </row>
    <row r="7" spans="1:6" x14ac:dyDescent="0.2">
      <c r="A7" s="6" t="s">
        <v>7</v>
      </c>
      <c r="B7" s="7">
        <f>B5+B6</f>
        <v>795</v>
      </c>
      <c r="C7" s="7">
        <f>C5+C6</f>
        <v>6558</v>
      </c>
    </row>
    <row r="9" spans="1:6" x14ac:dyDescent="0.2">
      <c r="A9" s="8" t="s">
        <v>8</v>
      </c>
      <c r="B9" s="8" t="s">
        <v>9</v>
      </c>
      <c r="C9" s="8" t="s">
        <v>10</v>
      </c>
      <c r="D9" s="8" t="s">
        <v>11</v>
      </c>
      <c r="E9" s="17" t="s">
        <v>3</v>
      </c>
      <c r="F9" s="18" t="s">
        <v>4</v>
      </c>
    </row>
    <row r="10" spans="1:6" x14ac:dyDescent="0.2">
      <c r="A10" s="4" t="s">
        <v>12</v>
      </c>
      <c r="B10" s="4" t="s">
        <v>13</v>
      </c>
      <c r="C10" s="4" t="s">
        <v>14</v>
      </c>
      <c r="D10" s="4" t="s">
        <v>15</v>
      </c>
      <c r="E10" s="16">
        <v>25</v>
      </c>
      <c r="F10" s="16">
        <v>161</v>
      </c>
    </row>
    <row r="11" spans="1:6" x14ac:dyDescent="0.2">
      <c r="A11" s="4" t="s">
        <v>12</v>
      </c>
      <c r="B11" s="4" t="s">
        <v>16</v>
      </c>
      <c r="C11" s="4" t="s">
        <v>17</v>
      </c>
      <c r="D11" s="4" t="s">
        <v>15</v>
      </c>
      <c r="E11" s="16">
        <v>21</v>
      </c>
      <c r="F11" s="16">
        <v>102</v>
      </c>
    </row>
    <row r="12" spans="1:6" x14ac:dyDescent="0.2">
      <c r="A12" s="4" t="s">
        <v>18</v>
      </c>
      <c r="B12" s="4" t="s">
        <v>19</v>
      </c>
      <c r="C12" s="4" t="s">
        <v>14</v>
      </c>
      <c r="D12" s="4" t="s">
        <v>20</v>
      </c>
      <c r="E12" s="16">
        <v>26</v>
      </c>
      <c r="F12" s="16">
        <v>254</v>
      </c>
    </row>
    <row r="13" spans="1:6" x14ac:dyDescent="0.2">
      <c r="A13" s="4" t="s">
        <v>18</v>
      </c>
      <c r="B13" s="4" t="s">
        <v>21</v>
      </c>
      <c r="C13" s="4" t="s">
        <v>17</v>
      </c>
      <c r="D13" s="4" t="s">
        <v>20</v>
      </c>
      <c r="E13" s="16">
        <v>12</v>
      </c>
      <c r="F13" s="16">
        <v>88</v>
      </c>
    </row>
    <row r="14" spans="1:6" x14ac:dyDescent="0.2">
      <c r="A14" s="4" t="s">
        <v>18</v>
      </c>
      <c r="B14" s="4" t="s">
        <v>22</v>
      </c>
      <c r="C14" s="4" t="s">
        <v>14</v>
      </c>
      <c r="D14" s="4" t="s">
        <v>23</v>
      </c>
      <c r="E14" s="16">
        <v>26</v>
      </c>
      <c r="F14" s="16">
        <v>206</v>
      </c>
    </row>
    <row r="15" spans="1:6" x14ac:dyDescent="0.2">
      <c r="A15" s="4" t="s">
        <v>18</v>
      </c>
      <c r="B15" s="4" t="s">
        <v>24</v>
      </c>
      <c r="C15" s="4" t="s">
        <v>17</v>
      </c>
      <c r="D15" s="4" t="s">
        <v>23</v>
      </c>
      <c r="E15" s="16">
        <v>12</v>
      </c>
      <c r="F15" s="16">
        <v>88</v>
      </c>
    </row>
    <row r="16" spans="1:6" x14ac:dyDescent="0.2">
      <c r="A16" s="4" t="s">
        <v>25</v>
      </c>
      <c r="B16" s="4" t="s">
        <v>26</v>
      </c>
      <c r="C16" s="4" t="s">
        <v>14</v>
      </c>
      <c r="D16" s="4" t="s">
        <v>27</v>
      </c>
      <c r="E16" s="16">
        <v>25</v>
      </c>
      <c r="F16" s="16">
        <v>315</v>
      </c>
    </row>
    <row r="17" spans="1:6" x14ac:dyDescent="0.2">
      <c r="A17" s="4" t="s">
        <v>25</v>
      </c>
      <c r="B17" s="4" t="s">
        <v>28</v>
      </c>
      <c r="C17" s="4" t="s">
        <v>17</v>
      </c>
      <c r="D17" s="4" t="s">
        <v>27</v>
      </c>
      <c r="E17" s="16">
        <v>21</v>
      </c>
      <c r="F17" s="16">
        <v>124</v>
      </c>
    </row>
    <row r="18" spans="1:6" x14ac:dyDescent="0.2">
      <c r="A18" s="4" t="s">
        <v>25</v>
      </c>
      <c r="B18" s="4" t="s">
        <v>29</v>
      </c>
      <c r="C18" s="4" t="s">
        <v>14</v>
      </c>
      <c r="D18" s="4" t="s">
        <v>15</v>
      </c>
      <c r="E18" s="16">
        <v>25</v>
      </c>
      <c r="F18" s="16">
        <v>284</v>
      </c>
    </row>
    <row r="19" spans="1:6" x14ac:dyDescent="0.2">
      <c r="A19" s="4" t="s">
        <v>25</v>
      </c>
      <c r="B19" s="4" t="s">
        <v>30</v>
      </c>
      <c r="C19" s="4" t="s">
        <v>17</v>
      </c>
      <c r="D19" s="4" t="s">
        <v>15</v>
      </c>
      <c r="E19" s="16">
        <v>22</v>
      </c>
      <c r="F19" s="16">
        <v>107</v>
      </c>
    </row>
    <row r="20" spans="1:6" x14ac:dyDescent="0.2">
      <c r="A20" s="4" t="s">
        <v>25</v>
      </c>
      <c r="B20" s="4" t="s">
        <v>31</v>
      </c>
      <c r="C20" s="4" t="s">
        <v>14</v>
      </c>
      <c r="D20" s="4" t="s">
        <v>20</v>
      </c>
      <c r="E20" s="16">
        <v>25</v>
      </c>
      <c r="F20" s="16">
        <v>273</v>
      </c>
    </row>
    <row r="21" spans="1:6" x14ac:dyDescent="0.2">
      <c r="A21" s="4" t="s">
        <v>25</v>
      </c>
      <c r="B21" s="4" t="s">
        <v>32</v>
      </c>
      <c r="C21" s="4" t="s">
        <v>17</v>
      </c>
      <c r="D21" s="4" t="s">
        <v>20</v>
      </c>
      <c r="E21" s="16">
        <v>21</v>
      </c>
      <c r="F21" s="16">
        <v>107</v>
      </c>
    </row>
    <row r="22" spans="1:6" x14ac:dyDescent="0.2">
      <c r="A22" s="4" t="s">
        <v>33</v>
      </c>
      <c r="B22" s="4" t="s">
        <v>34</v>
      </c>
      <c r="C22" s="4" t="s">
        <v>14</v>
      </c>
      <c r="D22" s="4" t="s">
        <v>15</v>
      </c>
      <c r="E22" s="16">
        <v>27</v>
      </c>
      <c r="F22" s="16">
        <v>288</v>
      </c>
    </row>
    <row r="23" spans="1:6" x14ac:dyDescent="0.2">
      <c r="A23" s="4" t="s">
        <v>33</v>
      </c>
      <c r="B23" s="4" t="s">
        <v>35</v>
      </c>
      <c r="C23" s="4" t="s">
        <v>17</v>
      </c>
      <c r="D23" s="4" t="s">
        <v>15</v>
      </c>
      <c r="E23" s="16">
        <v>22</v>
      </c>
      <c r="F23" s="16">
        <v>108</v>
      </c>
    </row>
    <row r="24" spans="1:6" x14ac:dyDescent="0.2">
      <c r="A24" s="4" t="s">
        <v>36</v>
      </c>
      <c r="B24" s="4" t="s">
        <v>37</v>
      </c>
      <c r="C24" s="4" t="s">
        <v>14</v>
      </c>
      <c r="D24" s="4" t="s">
        <v>38</v>
      </c>
      <c r="E24" s="16">
        <v>26</v>
      </c>
      <c r="F24" s="16">
        <v>281</v>
      </c>
    </row>
    <row r="25" spans="1:6" x14ac:dyDescent="0.2">
      <c r="A25" s="4" t="s">
        <v>36</v>
      </c>
      <c r="B25" s="4" t="s">
        <v>39</v>
      </c>
      <c r="C25" s="4" t="s">
        <v>17</v>
      </c>
      <c r="D25" s="4" t="s">
        <v>38</v>
      </c>
      <c r="E25" s="16">
        <v>22</v>
      </c>
      <c r="F25" s="16">
        <v>122</v>
      </c>
    </row>
    <row r="26" spans="1:6" x14ac:dyDescent="0.2">
      <c r="A26" s="4" t="s">
        <v>40</v>
      </c>
      <c r="B26" s="4" t="s">
        <v>41</v>
      </c>
      <c r="C26" s="4" t="s">
        <v>14</v>
      </c>
      <c r="D26" s="4" t="s">
        <v>20</v>
      </c>
      <c r="E26" s="16">
        <v>25</v>
      </c>
      <c r="F26" s="16">
        <v>266</v>
      </c>
    </row>
    <row r="27" spans="1:6" x14ac:dyDescent="0.2">
      <c r="A27" s="4" t="s">
        <v>40</v>
      </c>
      <c r="B27" s="4" t="s">
        <v>42</v>
      </c>
      <c r="C27" s="4" t="s">
        <v>17</v>
      </c>
      <c r="D27" s="4" t="s">
        <v>20</v>
      </c>
      <c r="E27" s="16">
        <v>21</v>
      </c>
      <c r="F27" s="16">
        <v>106</v>
      </c>
    </row>
    <row r="28" spans="1:6" x14ac:dyDescent="0.2">
      <c r="A28" s="4" t="s">
        <v>43</v>
      </c>
      <c r="B28" s="4" t="s">
        <v>44</v>
      </c>
      <c r="C28" s="4" t="s">
        <v>14</v>
      </c>
      <c r="D28" s="4" t="s">
        <v>45</v>
      </c>
      <c r="E28" s="16">
        <v>28</v>
      </c>
      <c r="F28" s="16">
        <v>305</v>
      </c>
    </row>
    <row r="29" spans="1:6" x14ac:dyDescent="0.2">
      <c r="A29" s="4" t="s">
        <v>43</v>
      </c>
      <c r="B29" s="4" t="s">
        <v>46</v>
      </c>
      <c r="C29" s="4" t="s">
        <v>17</v>
      </c>
      <c r="D29" s="4" t="s">
        <v>45</v>
      </c>
      <c r="E29" s="16">
        <v>21</v>
      </c>
      <c r="F29" s="16">
        <v>122</v>
      </c>
    </row>
    <row r="30" spans="1:6" x14ac:dyDescent="0.2">
      <c r="A30" s="4" t="s">
        <v>47</v>
      </c>
      <c r="B30" s="4" t="s">
        <v>48</v>
      </c>
      <c r="C30" s="4" t="s">
        <v>14</v>
      </c>
      <c r="D30" s="4" t="s">
        <v>27</v>
      </c>
      <c r="E30" s="16">
        <v>26</v>
      </c>
      <c r="F30" s="16">
        <v>331</v>
      </c>
    </row>
    <row r="31" spans="1:6" x14ac:dyDescent="0.2">
      <c r="A31" s="4" t="s">
        <v>47</v>
      </c>
      <c r="B31" s="4" t="s">
        <v>49</v>
      </c>
      <c r="C31" s="4" t="s">
        <v>17</v>
      </c>
      <c r="D31" s="4" t="s">
        <v>27</v>
      </c>
      <c r="E31" s="16">
        <v>21</v>
      </c>
      <c r="F31" s="16">
        <v>125</v>
      </c>
    </row>
    <row r="32" spans="1:6" x14ac:dyDescent="0.2">
      <c r="A32" s="4" t="s">
        <v>47</v>
      </c>
      <c r="B32" s="4" t="s">
        <v>50</v>
      </c>
      <c r="C32" s="4" t="s">
        <v>14</v>
      </c>
      <c r="D32" s="4" t="s">
        <v>15</v>
      </c>
      <c r="E32" s="16">
        <v>25</v>
      </c>
      <c r="F32" s="16">
        <v>288</v>
      </c>
    </row>
    <row r="33" spans="1:6" x14ac:dyDescent="0.2">
      <c r="A33" s="4" t="s">
        <v>47</v>
      </c>
      <c r="B33" s="4" t="s">
        <v>51</v>
      </c>
      <c r="C33" s="4" t="s">
        <v>17</v>
      </c>
      <c r="D33" s="4" t="s">
        <v>15</v>
      </c>
      <c r="E33" s="16">
        <v>21</v>
      </c>
      <c r="F33" s="16">
        <v>121</v>
      </c>
    </row>
    <row r="34" spans="1:6" x14ac:dyDescent="0.2">
      <c r="A34" s="4" t="s">
        <v>47</v>
      </c>
      <c r="B34" s="4" t="s">
        <v>52</v>
      </c>
      <c r="C34" s="4" t="s">
        <v>14</v>
      </c>
      <c r="D34" s="4" t="s">
        <v>20</v>
      </c>
      <c r="E34" s="16">
        <v>25</v>
      </c>
      <c r="F34" s="16">
        <v>280</v>
      </c>
    </row>
    <row r="35" spans="1:6" x14ac:dyDescent="0.2">
      <c r="A35" s="4" t="s">
        <v>47</v>
      </c>
      <c r="B35" s="4" t="s">
        <v>53</v>
      </c>
      <c r="C35" s="4" t="s">
        <v>17</v>
      </c>
      <c r="D35" s="4" t="s">
        <v>20</v>
      </c>
      <c r="E35" s="16">
        <v>21</v>
      </c>
      <c r="F35" s="16">
        <v>121</v>
      </c>
    </row>
    <row r="36" spans="1:6" x14ac:dyDescent="0.2">
      <c r="A36" s="4" t="s">
        <v>54</v>
      </c>
      <c r="B36" s="4" t="s">
        <v>55</v>
      </c>
      <c r="C36" s="4" t="s">
        <v>14</v>
      </c>
      <c r="D36" s="4" t="s">
        <v>23</v>
      </c>
      <c r="E36" s="16">
        <v>25</v>
      </c>
      <c r="F36" s="16">
        <v>194</v>
      </c>
    </row>
    <row r="37" spans="1:6" x14ac:dyDescent="0.2">
      <c r="A37" s="4" t="s">
        <v>54</v>
      </c>
      <c r="B37" s="4" t="s">
        <v>56</v>
      </c>
      <c r="C37" s="4" t="s">
        <v>17</v>
      </c>
      <c r="D37" s="4" t="s">
        <v>23</v>
      </c>
      <c r="E37" s="16">
        <v>22</v>
      </c>
      <c r="F37" s="16">
        <v>106</v>
      </c>
    </row>
    <row r="38" spans="1:6" x14ac:dyDescent="0.2">
      <c r="A38" s="4" t="s">
        <v>57</v>
      </c>
      <c r="B38" s="4" t="s">
        <v>58</v>
      </c>
      <c r="C38" s="4" t="s">
        <v>14</v>
      </c>
      <c r="D38" s="4" t="s">
        <v>59</v>
      </c>
      <c r="E38" s="16">
        <v>28</v>
      </c>
      <c r="F38" s="16">
        <v>247</v>
      </c>
    </row>
    <row r="39" spans="1:6" x14ac:dyDescent="0.2">
      <c r="A39" s="4" t="s">
        <v>57</v>
      </c>
      <c r="B39" s="4" t="s">
        <v>60</v>
      </c>
      <c r="C39" s="4" t="s">
        <v>17</v>
      </c>
      <c r="D39" s="4" t="s">
        <v>59</v>
      </c>
      <c r="E39" s="16">
        <v>22</v>
      </c>
      <c r="F39" s="16">
        <v>121</v>
      </c>
    </row>
    <row r="40" spans="1:6" x14ac:dyDescent="0.2">
      <c r="A40" s="4" t="s">
        <v>61</v>
      </c>
      <c r="B40" s="4" t="s">
        <v>62</v>
      </c>
      <c r="C40" s="4" t="s">
        <v>63</v>
      </c>
      <c r="D40" s="4" t="s">
        <v>27</v>
      </c>
      <c r="E40" s="16">
        <v>18</v>
      </c>
      <c r="F40" s="16">
        <v>162</v>
      </c>
    </row>
    <row r="41" spans="1:6" x14ac:dyDescent="0.2">
      <c r="A41" s="4" t="s">
        <v>61</v>
      </c>
      <c r="B41" s="4" t="s">
        <v>64</v>
      </c>
      <c r="C41" s="4" t="s">
        <v>65</v>
      </c>
      <c r="D41" s="4" t="s">
        <v>27</v>
      </c>
      <c r="E41" s="16">
        <v>17</v>
      </c>
      <c r="F41" s="16">
        <v>96</v>
      </c>
    </row>
    <row r="42" spans="1:6" x14ac:dyDescent="0.2">
      <c r="A42" s="4" t="s">
        <v>66</v>
      </c>
      <c r="B42" s="4" t="s">
        <v>67</v>
      </c>
      <c r="C42" s="4" t="s">
        <v>14</v>
      </c>
      <c r="D42" s="4" t="s">
        <v>27</v>
      </c>
      <c r="E42" s="16">
        <v>26</v>
      </c>
      <c r="F42" s="16">
        <v>310</v>
      </c>
    </row>
    <row r="43" spans="1:6" x14ac:dyDescent="0.2">
      <c r="A43" s="4" t="s">
        <v>66</v>
      </c>
      <c r="B43" s="4" t="s">
        <v>68</v>
      </c>
      <c r="C43" s="4" t="s">
        <v>17</v>
      </c>
      <c r="D43" s="4" t="s">
        <v>27</v>
      </c>
      <c r="E43" s="16">
        <v>21</v>
      </c>
      <c r="F43" s="16">
        <v>111</v>
      </c>
    </row>
    <row r="44" spans="1:6" x14ac:dyDescent="0.2">
      <c r="A44" s="4" t="s">
        <v>69</v>
      </c>
      <c r="B44" s="4" t="s">
        <v>70</v>
      </c>
      <c r="C44" s="4" t="s">
        <v>71</v>
      </c>
      <c r="D44" s="4" t="s">
        <v>27</v>
      </c>
      <c r="E44" s="16">
        <v>24</v>
      </c>
      <c r="F44" s="16">
        <v>238</v>
      </c>
    </row>
    <row r="45" spans="1:6" x14ac:dyDescent="0.2">
      <c r="A45" s="9" t="s">
        <v>72</v>
      </c>
      <c r="B45" s="9"/>
      <c r="C45" s="9"/>
      <c r="D45" s="9"/>
      <c r="E45" s="9">
        <f>SUM(E10:E44)</f>
        <v>795</v>
      </c>
      <c r="F45" s="9">
        <f>SUM(F10:F44)</f>
        <v>6558</v>
      </c>
    </row>
    <row r="47" spans="1:6" x14ac:dyDescent="0.2">
      <c r="A47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Normal="100" workbookViewId="0">
      <selection activeCell="B4" sqref="B4"/>
    </sheetView>
  </sheetViews>
  <sheetFormatPr baseColWidth="10" defaultColWidth="8.6640625" defaultRowHeight="15" x14ac:dyDescent="0.2"/>
  <cols>
    <col min="1" max="1" width="16" customWidth="1"/>
    <col min="2" max="2" width="22" customWidth="1"/>
    <col min="3" max="3" width="24" customWidth="1"/>
    <col min="4" max="4" width="14" customWidth="1"/>
    <col min="5" max="5" width="22" customWidth="1"/>
  </cols>
  <sheetData>
    <row r="1" spans="1:5" ht="17" x14ac:dyDescent="0.2">
      <c r="A1" s="1" t="s">
        <v>73</v>
      </c>
    </row>
    <row r="2" spans="1:5" x14ac:dyDescent="0.2">
      <c r="A2" s="2" t="s">
        <v>74</v>
      </c>
    </row>
    <row r="4" spans="1:5" ht="45" customHeight="1" x14ac:dyDescent="0.2">
      <c r="A4" s="11" t="s">
        <v>75</v>
      </c>
      <c r="B4" s="11" t="s">
        <v>76</v>
      </c>
      <c r="C4" s="11" t="s">
        <v>77</v>
      </c>
      <c r="D4" s="11" t="s">
        <v>78</v>
      </c>
      <c r="E4" s="11" t="s">
        <v>79</v>
      </c>
    </row>
    <row r="5" spans="1:5" x14ac:dyDescent="0.2">
      <c r="A5" s="12" t="s">
        <v>69</v>
      </c>
      <c r="B5" s="13">
        <v>236</v>
      </c>
      <c r="C5" s="12">
        <f>'Published pages'!C6</f>
        <v>238</v>
      </c>
      <c r="D5" s="12">
        <f>C5-B5</f>
        <v>2</v>
      </c>
      <c r="E5" s="12">
        <f>'Published pages'!B6</f>
        <v>24</v>
      </c>
    </row>
    <row r="6" spans="1:5" x14ac:dyDescent="0.2">
      <c r="A6" s="12" t="s">
        <v>80</v>
      </c>
      <c r="B6" s="13">
        <v>7291</v>
      </c>
      <c r="C6" s="12">
        <f>'Published pages'!C5</f>
        <v>6320</v>
      </c>
      <c r="D6" s="12">
        <f>C6-B6</f>
        <v>-971</v>
      </c>
      <c r="E6" s="12">
        <f>'Published pages'!B5</f>
        <v>771</v>
      </c>
    </row>
    <row r="7" spans="1:5" x14ac:dyDescent="0.2">
      <c r="A7" s="14" t="s">
        <v>72</v>
      </c>
      <c r="B7" s="14">
        <f>SUM(B5:B6)</f>
        <v>7527</v>
      </c>
      <c r="C7" s="14">
        <f>SUM(C5:C6)</f>
        <v>6558</v>
      </c>
      <c r="D7" s="14">
        <f>C7-B7</f>
        <v>-969</v>
      </c>
      <c r="E7" s="14">
        <f>SUM(E5:E6)</f>
        <v>795</v>
      </c>
    </row>
    <row r="9" spans="1:5" x14ac:dyDescent="0.2">
      <c r="A9" s="10" t="s">
        <v>81</v>
      </c>
    </row>
    <row r="10" spans="1:5" x14ac:dyDescent="0.2">
      <c r="A10" s="10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Published pages</vt:lpstr>
      <vt:lpstr>Jul-24 vs 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Lunga Ndzimande</cp:lastModifiedBy>
  <cp:revision>0</cp:revision>
  <dcterms:created xsi:type="dcterms:W3CDTF">2026-10-07T11:26:13Z</dcterms:created>
  <dcterms:modified xsi:type="dcterms:W3CDTF">2026-10-07T12:40:32Z</dcterms:modified>
  <dc:language>en-US</dc:language>
</cp:coreProperties>
</file>