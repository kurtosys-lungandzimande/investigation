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er-site breakdown" sheetId="2" state="visible" r:id="rId4"/>
  </sheets>
  <definedNames>
    <definedName function="false" hidden="true" localSheetId="1" name="_xlnm._FilterDatabase" vbProcedure="false">'Per-site breakdown'!$A$4:$J$39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<sst xmlns="http://schemas.openxmlformats.org/spreadsheetml/2006/main" count="236" uniqueCount="99">
  <si>
    <t xml:space="preserve">Nordea TECH-4447 - Total published content (NIFSA + NAM Global)</t>
  </si>
  <si>
    <t xml:space="preserve">Production database, 6 Oct 2026. All figures calculate from the 'Per-site breakdown' sheet.</t>
  </si>
  <si>
    <t xml:space="preserve">Group</t>
  </si>
  <si>
    <t xml:space="preserve">Sites</t>
  </si>
  <si>
    <t xml:space="preserve">Pages only</t>
  </si>
  <si>
    <t xml:space="preserve">Published items (incl. engine)</t>
  </si>
  <si>
    <t xml:space="preserve">Published items (excl. engine)</t>
  </si>
  <si>
    <t xml:space="preserve">NIFSA</t>
  </si>
  <si>
    <t xml:space="preserve">NAM Global</t>
  </si>
  <si>
    <t xml:space="preserve">Total</t>
  </si>
  <si>
    <t xml:space="preserve">Comparison with Jul-24 (figures quoted by Nordea in the ticket, not reproduced from the database)</t>
  </si>
  <si>
    <t xml:space="preserve">Jul-24 (Nordea)</t>
  </si>
  <si>
    <t xml:space="preserve">Now (incl. engine)</t>
  </si>
  <si>
    <t xml:space="preserve">Difference</t>
  </si>
  <si>
    <t xml:space="preserve">Change %</t>
  </si>
  <si>
    <t xml:space="preserve">NIFSA by country</t>
  </si>
  <si>
    <t xml:space="preserve">Country</t>
  </si>
  <si>
    <t xml:space="preserve">AT</t>
  </si>
  <si>
    <t xml:space="preserve">BE</t>
  </si>
  <si>
    <t xml:space="preserve">CH</t>
  </si>
  <si>
    <t xml:space="preserve">DE</t>
  </si>
  <si>
    <t xml:space="preserve">ES</t>
  </si>
  <si>
    <t xml:space="preserve">FR</t>
  </si>
  <si>
    <t xml:space="preserve">IT</t>
  </si>
  <si>
    <t xml:space="preserve">LU</t>
  </si>
  <si>
    <t xml:space="preserve">NL</t>
  </si>
  <si>
    <t xml:space="preserve">PT</t>
  </si>
  <si>
    <t xml:space="preserve">SG</t>
  </si>
  <si>
    <t xml:space="preserve">UK</t>
  </si>
  <si>
    <t xml:space="preserve">NIFSA total</t>
  </si>
  <si>
    <t xml:space="preserve">Definitions and open points</t>
  </si>
  <si>
    <t xml:space="preserve">Pages only = published 'page' posts. Published items = pages, posts, team, locations, image-boxes and kurtosys-engine items.</t>
  </si>
  <si>
    <t xml:space="preserve">Open: ticket title says 'pages' but the body says 'published items'. Confirm the definition with the requester before reporting.</t>
  </si>
  <si>
    <t xml:space="preserve">Open: the Jul-24 figures are Nordea's own; their counting method is unknown, so the NIFSA gap cannot be explained from this data.</t>
  </si>
  <si>
    <t xml:space="preserve">Out of scope: site 1 (network root) and site 38 (/advisory/) were excluded.</t>
  </si>
  <si>
    <t xml:space="preserve">Nordea (TECH-4447) - Published content by site, production (vxecrqkebc_prd)</t>
  </si>
  <si>
    <t xml:space="preserve">Counts taken 6 Oct 2026 from post_status = 'publish'. Blue = values taken from query output; black = formulas.</t>
  </si>
  <si>
    <t xml:space="preserve">Domain</t>
  </si>
  <si>
    <t xml:space="preserve">Site ID</t>
  </si>
  <si>
    <t xml:space="preserve">Link path</t>
  </si>
  <si>
    <t xml:space="preserve">Investor type</t>
  </si>
  <si>
    <t xml:space="preserve">Language</t>
  </si>
  <si>
    <t xml:space="preserve">Pages</t>
  </si>
  <si>
    <t xml:space="preserve">Core content items</t>
  </si>
  <si>
    <t xml:space="preserve">Engine items</t>
  </si>
  <si>
    <t xml:space="preserve">Total published items</t>
  </si>
  <si>
    <t xml:space="preserve">/at/de/professional</t>
  </si>
  <si>
    <t xml:space="preserve">Professional</t>
  </si>
  <si>
    <t xml:space="preserve">de</t>
  </si>
  <si>
    <t xml:space="preserve">/at/de/private</t>
  </si>
  <si>
    <t xml:space="preserve">Private</t>
  </si>
  <si>
    <t xml:space="preserve">/be/fr/professional</t>
  </si>
  <si>
    <t xml:space="preserve">fr</t>
  </si>
  <si>
    <t xml:space="preserve">/be/fr/private</t>
  </si>
  <si>
    <t xml:space="preserve">/be/nl/professional</t>
  </si>
  <si>
    <t xml:space="preserve">nl</t>
  </si>
  <si>
    <t xml:space="preserve">/be/nl/private</t>
  </si>
  <si>
    <t xml:space="preserve">/ch/en/professional</t>
  </si>
  <si>
    <t xml:space="preserve">en</t>
  </si>
  <si>
    <t xml:space="preserve">/ch/en/private</t>
  </si>
  <si>
    <t xml:space="preserve">/ch/de/professional</t>
  </si>
  <si>
    <t xml:space="preserve">/ch/de/private</t>
  </si>
  <si>
    <t xml:space="preserve">/ch/fr/professional</t>
  </si>
  <si>
    <t xml:space="preserve">/ch/fr/private</t>
  </si>
  <si>
    <t xml:space="preserve">/de/de/professional</t>
  </si>
  <si>
    <t xml:space="preserve">/de/de/private</t>
  </si>
  <si>
    <t xml:space="preserve">/es/es/professional</t>
  </si>
  <si>
    <t xml:space="preserve">es</t>
  </si>
  <si>
    <t xml:space="preserve">/es/es/private</t>
  </si>
  <si>
    <t xml:space="preserve">/fr/fr/professional</t>
  </si>
  <si>
    <t xml:space="preserve">/fr/fr/private</t>
  </si>
  <si>
    <t xml:space="preserve">/it/it/professional</t>
  </si>
  <si>
    <t xml:space="preserve">it</t>
  </si>
  <si>
    <t xml:space="preserve">/it/it/private</t>
  </si>
  <si>
    <t xml:space="preserve">/lu/en/professional</t>
  </si>
  <si>
    <t xml:space="preserve">/lu/en/private</t>
  </si>
  <si>
    <t xml:space="preserve">/lu/de/professional</t>
  </si>
  <si>
    <t xml:space="preserve">/lu/de/private</t>
  </si>
  <si>
    <t xml:space="preserve">/lu/fr/professional</t>
  </si>
  <si>
    <t xml:space="preserve">/lu/fr/private</t>
  </si>
  <si>
    <t xml:space="preserve">/nl/nl/professional</t>
  </si>
  <si>
    <t xml:space="preserve">/nl/nl/private</t>
  </si>
  <si>
    <t xml:space="preserve">/pt/pt/professional</t>
  </si>
  <si>
    <t xml:space="preserve">pt</t>
  </si>
  <si>
    <t xml:space="preserve">/pt/pt/private</t>
  </si>
  <si>
    <t xml:space="preserve">/sg/en/institutional</t>
  </si>
  <si>
    <t xml:space="preserve">Institutional / Accredited</t>
  </si>
  <si>
    <t xml:space="preserve">/sg/en/other-investors</t>
  </si>
  <si>
    <t xml:space="preserve">Other investors</t>
  </si>
  <si>
    <t xml:space="preserve">/uk/en/professional</t>
  </si>
  <si>
    <t xml:space="preserve">/uk/en/private</t>
  </si>
  <si>
    <t xml:space="preserve">/nordeaassetmanagement</t>
  </si>
  <si>
    <t xml:space="preserve">Global</t>
  </si>
  <si>
    <t xml:space="preserve">Total (all sites)</t>
  </si>
  <si>
    <t xml:space="preserve">Notes</t>
  </si>
  <si>
    <t xml:space="preserve">Core content items = published page, post, nordea-team, nordea-locations and image-boxes.</t>
  </si>
  <si>
    <t xml:space="preserve">Engine items = published kurtosys-engine items (plugin content). Total published items = core + engine.</t>
  </si>
  <si>
    <t xml:space="preserve">Excluded: media, revisions, menus, Elementor templates and other config post types.</t>
  </si>
  <si>
    <t xml:space="preserve">Out of scope: site 1 (network root) and site 38 (/advisory/) are not in the ticket's domain list; confirm with the requester.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</si>
</sst>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;\(#,##0\);\-"/>
    <numFmt numFmtId="167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8"/>
    <col collapsed="false" customWidth="true" hidden="false" outlineLevel="0" max="5" min="4" style="0" width="2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f aca="false">COUNTIF('Per-site breakdown'!$F$5:$F$39,A5)</f>
        <v>34</v>
      </c>
      <c r="C5" s="5" t="n">
        <f aca="false">SUMIFS('Per-site breakdown'!$G$5:$G$39,'Per-site breakdown'!$F$5:$F$39,A5)</f>
        <v>771</v>
      </c>
      <c r="D5" s="5" t="n">
        <f aca="false">SUMIFS('Per-site breakdown'!$J$5:$J$39,'Per-site breakdown'!$F$5:$F$39,A5)</f>
        <v>6320</v>
      </c>
      <c r="E5" s="5" t="n">
        <f aca="false">SUMIFS('Per-site breakdown'!$H$5:$H$39,'Per-site breakdown'!$F$5:$F$39,A5)</f>
        <v>5707</v>
      </c>
    </row>
    <row r="6" customFormat="false" ht="15" hidden="false" customHeight="false" outlineLevel="0" collapsed="false">
      <c r="A6" s="4" t="s">
        <v>8</v>
      </c>
      <c r="B6" s="5" t="n">
        <f aca="false">COUNTIF('Per-site breakdown'!$F$5:$F$39,A6)</f>
        <v>1</v>
      </c>
      <c r="C6" s="5" t="n">
        <f aca="false">SUMIFS('Per-site breakdown'!$G$5:$G$39,'Per-site breakdown'!$F$5:$F$39,A6)</f>
        <v>24</v>
      </c>
      <c r="D6" s="5" t="n">
        <f aca="false">SUMIFS('Per-site breakdown'!$J$5:$J$39,'Per-site breakdown'!$F$5:$F$39,A6)</f>
        <v>238</v>
      </c>
      <c r="E6" s="5" t="n">
        <f aca="false">SUMIFS('Per-site breakdown'!$H$5:$H$39,'Per-site breakdown'!$F$5:$F$39,A6)</f>
        <v>217</v>
      </c>
    </row>
    <row r="7" customFormat="false" ht="15" hidden="false" customHeight="false" outlineLevel="0" collapsed="false">
      <c r="A7" s="6" t="s">
        <v>9</v>
      </c>
      <c r="B7" s="7" t="n">
        <f aca="false">SUM(B5:B6)</f>
        <v>35</v>
      </c>
      <c r="C7" s="7" t="n">
        <f aca="false">SUM(C5:C6)</f>
        <v>795</v>
      </c>
      <c r="D7" s="7" t="n">
        <f aca="false">SUM(D5:D6)</f>
        <v>6558</v>
      </c>
      <c r="E7" s="7" t="n">
        <f aca="false">SUM(E5:E6)</f>
        <v>5924</v>
      </c>
    </row>
    <row r="9" customFormat="false" ht="15" hidden="false" customHeight="false" outlineLevel="0" collapsed="false">
      <c r="A9" s="8" t="s">
        <v>10</v>
      </c>
    </row>
    <row r="10" customFormat="false" ht="19.5" hidden="false" customHeight="true" outlineLevel="0" collapsed="false">
      <c r="A10" s="3" t="s">
        <v>2</v>
      </c>
      <c r="B10" s="3" t="s">
        <v>11</v>
      </c>
      <c r="C10" s="3" t="s">
        <v>12</v>
      </c>
      <c r="D10" s="3" t="s">
        <v>13</v>
      </c>
      <c r="E10" s="3" t="s">
        <v>14</v>
      </c>
    </row>
    <row r="11" customFormat="false" ht="15" hidden="false" customHeight="false" outlineLevel="0" collapsed="false">
      <c r="A11" s="9" t="s">
        <v>7</v>
      </c>
      <c r="B11" s="10" t="n">
        <v>7291</v>
      </c>
      <c r="C11" s="9" t="n">
        <f aca="false">D5</f>
        <v>6320</v>
      </c>
      <c r="D11" s="9" t="n">
        <f aca="false">C11-B11</f>
        <v>-971</v>
      </c>
      <c r="E11" s="11" t="n">
        <f aca="false">IF(B11=0,0,D11/B11)</f>
        <v>-0.133177890549993</v>
      </c>
    </row>
    <row r="12" customFormat="false" ht="15" hidden="false" customHeight="false" outlineLevel="0" collapsed="false">
      <c r="A12" s="9" t="s">
        <v>8</v>
      </c>
      <c r="B12" s="10" t="n">
        <v>236</v>
      </c>
      <c r="C12" s="9" t="n">
        <f aca="false">D6</f>
        <v>238</v>
      </c>
      <c r="D12" s="9" t="n">
        <f aca="false">C12-B12</f>
        <v>2</v>
      </c>
      <c r="E12" s="11" t="n">
        <f aca="false">IF(B12=0,0,D12/B12)</f>
        <v>0.00847457627118644</v>
      </c>
    </row>
    <row r="13" customFormat="false" ht="15" hidden="false" customHeight="false" outlineLevel="0" collapsed="false">
      <c r="A13" s="12" t="s">
        <v>9</v>
      </c>
      <c r="B13" s="12" t="n">
        <f aca="false">SUM(B11:B12)</f>
        <v>7527</v>
      </c>
      <c r="C13" s="12" t="n">
        <f aca="false">SUM(C11:C12)</f>
        <v>6558</v>
      </c>
      <c r="D13" s="12" t="n">
        <f aca="false">C13-B13</f>
        <v>-969</v>
      </c>
      <c r="E13" s="13" t="n">
        <f aca="false">IF(B13=0,0,D13/B13)</f>
        <v>-0.128736548425668</v>
      </c>
    </row>
    <row r="15" customFormat="false" ht="15" hidden="false" customHeight="false" outlineLevel="0" collapsed="false">
      <c r="A15" s="8" t="s">
        <v>15</v>
      </c>
    </row>
    <row r="16" customFormat="false" ht="31.5" hidden="false" customHeight="true" outlineLevel="0" collapsed="false">
      <c r="A16" s="3" t="s">
        <v>16</v>
      </c>
      <c r="B16" s="3" t="s">
        <v>3</v>
      </c>
      <c r="C16" s="3" t="s">
        <v>4</v>
      </c>
      <c r="D16" s="3" t="s">
        <v>5</v>
      </c>
      <c r="E16" s="3" t="s">
        <v>6</v>
      </c>
    </row>
    <row r="17" customFormat="false" ht="15" hidden="false" customHeight="false" outlineLevel="0" collapsed="false">
      <c r="A17" s="4" t="s">
        <v>17</v>
      </c>
      <c r="B17" s="5" t="n">
        <f aca="false">COUNTIF('Per-site breakdown'!$A$5:$A$39,A17)</f>
        <v>2</v>
      </c>
      <c r="C17" s="5" t="n">
        <f aca="false">SUMIFS('Per-site breakdown'!$G$5:$G$39,'Per-site breakdown'!$A$5:$A$39,A17)</f>
        <v>46</v>
      </c>
      <c r="D17" s="5" t="n">
        <f aca="false">SUMIFS('Per-site breakdown'!$J$5:$J$39,'Per-site breakdown'!$A$5:$A$39,A17)</f>
        <v>263</v>
      </c>
      <c r="E17" s="5" t="n">
        <f aca="false">SUMIFS('Per-site breakdown'!$H$5:$H$39,'Per-site breakdown'!$A$5:$A$39,A17)</f>
        <v>227</v>
      </c>
    </row>
    <row r="18" customFormat="false" ht="15" hidden="false" customHeight="false" outlineLevel="0" collapsed="false">
      <c r="A18" s="4" t="s">
        <v>18</v>
      </c>
      <c r="B18" s="5" t="n">
        <f aca="false">COUNTIF('Per-site breakdown'!$A$5:$A$39,A18)</f>
        <v>4</v>
      </c>
      <c r="C18" s="5" t="n">
        <f aca="false">SUMIFS('Per-site breakdown'!$G$5:$G$39,'Per-site breakdown'!$A$5:$A$39,A18)</f>
        <v>76</v>
      </c>
      <c r="D18" s="5" t="n">
        <f aca="false">SUMIFS('Per-site breakdown'!$J$5:$J$39,'Per-site breakdown'!$A$5:$A$39,A18)</f>
        <v>636</v>
      </c>
      <c r="E18" s="5" t="n">
        <f aca="false">SUMIFS('Per-site breakdown'!$H$5:$H$39,'Per-site breakdown'!$A$5:$A$39,A18)</f>
        <v>564</v>
      </c>
    </row>
    <row r="19" customFormat="false" ht="15" hidden="false" customHeight="false" outlineLevel="0" collapsed="false">
      <c r="A19" s="4" t="s">
        <v>19</v>
      </c>
      <c r="B19" s="5" t="n">
        <f aca="false">COUNTIF('Per-site breakdown'!$A$5:$A$39,A19)</f>
        <v>6</v>
      </c>
      <c r="C19" s="5" t="n">
        <f aca="false">SUMIFS('Per-site breakdown'!$G$5:$G$39,'Per-site breakdown'!$A$5:$A$39,A19)</f>
        <v>139</v>
      </c>
      <c r="D19" s="5" t="n">
        <f aca="false">SUMIFS('Per-site breakdown'!$J$5:$J$39,'Per-site breakdown'!$A$5:$A$39,A19)</f>
        <v>1210</v>
      </c>
      <c r="E19" s="5" t="n">
        <f aca="false">SUMIFS('Per-site breakdown'!$H$5:$H$39,'Per-site breakdown'!$A$5:$A$39,A19)</f>
        <v>1102</v>
      </c>
    </row>
    <row r="20" customFormat="false" ht="15" hidden="false" customHeight="false" outlineLevel="0" collapsed="false">
      <c r="A20" s="4" t="s">
        <v>20</v>
      </c>
      <c r="B20" s="5" t="n">
        <f aca="false">COUNTIF('Per-site breakdown'!$A$5:$A$39,A20)</f>
        <v>2</v>
      </c>
      <c r="C20" s="5" t="n">
        <f aca="false">SUMIFS('Per-site breakdown'!$G$5:$G$39,'Per-site breakdown'!$A$5:$A$39,A20)</f>
        <v>49</v>
      </c>
      <c r="D20" s="5" t="n">
        <f aca="false">SUMIFS('Per-site breakdown'!$J$5:$J$39,'Per-site breakdown'!$A$5:$A$39,A20)</f>
        <v>396</v>
      </c>
      <c r="E20" s="5" t="n">
        <f aca="false">SUMIFS('Per-site breakdown'!$H$5:$H$39,'Per-site breakdown'!$A$5:$A$39,A20)</f>
        <v>360</v>
      </c>
    </row>
    <row r="21" customFormat="false" ht="15" hidden="false" customHeight="false" outlineLevel="0" collapsed="false">
      <c r="A21" s="4" t="s">
        <v>21</v>
      </c>
      <c r="B21" s="5" t="n">
        <f aca="false">COUNTIF('Per-site breakdown'!$A$5:$A$39,A21)</f>
        <v>2</v>
      </c>
      <c r="C21" s="5" t="n">
        <f aca="false">SUMIFS('Per-site breakdown'!$G$5:$G$39,'Per-site breakdown'!$A$5:$A$39,A21)</f>
        <v>48</v>
      </c>
      <c r="D21" s="5" t="n">
        <f aca="false">SUMIFS('Per-site breakdown'!$J$5:$J$39,'Per-site breakdown'!$A$5:$A$39,A21)</f>
        <v>403</v>
      </c>
      <c r="E21" s="5" t="n">
        <f aca="false">SUMIFS('Per-site breakdown'!$H$5:$H$39,'Per-site breakdown'!$A$5:$A$39,A21)</f>
        <v>367</v>
      </c>
    </row>
    <row r="22" customFormat="false" ht="15" hidden="false" customHeight="false" outlineLevel="0" collapsed="false">
      <c r="A22" s="4" t="s">
        <v>22</v>
      </c>
      <c r="B22" s="5" t="n">
        <f aca="false">COUNTIF('Per-site breakdown'!$A$5:$A$39,A22)</f>
        <v>2</v>
      </c>
      <c r="C22" s="5" t="n">
        <f aca="false">SUMIFS('Per-site breakdown'!$G$5:$G$39,'Per-site breakdown'!$A$5:$A$39,A22)</f>
        <v>46</v>
      </c>
      <c r="D22" s="5" t="n">
        <f aca="false">SUMIFS('Per-site breakdown'!$J$5:$J$39,'Per-site breakdown'!$A$5:$A$39,A22)</f>
        <v>372</v>
      </c>
      <c r="E22" s="5" t="n">
        <f aca="false">SUMIFS('Per-site breakdown'!$H$5:$H$39,'Per-site breakdown'!$A$5:$A$39,A22)</f>
        <v>336</v>
      </c>
    </row>
    <row r="23" customFormat="false" ht="15" hidden="false" customHeight="false" outlineLevel="0" collapsed="false">
      <c r="A23" s="4" t="s">
        <v>23</v>
      </c>
      <c r="B23" s="5" t="n">
        <f aca="false">COUNTIF('Per-site breakdown'!$A$5:$A$39,A23)</f>
        <v>2</v>
      </c>
      <c r="C23" s="5" t="n">
        <f aca="false">SUMIFS('Per-site breakdown'!$G$5:$G$39,'Per-site breakdown'!$A$5:$A$39,A23)</f>
        <v>49</v>
      </c>
      <c r="D23" s="5" t="n">
        <f aca="false">SUMIFS('Per-site breakdown'!$J$5:$J$39,'Per-site breakdown'!$A$5:$A$39,A23)</f>
        <v>427</v>
      </c>
      <c r="E23" s="5" t="n">
        <f aca="false">SUMIFS('Per-site breakdown'!$H$5:$H$39,'Per-site breakdown'!$A$5:$A$39,A23)</f>
        <v>391</v>
      </c>
    </row>
    <row r="24" customFormat="false" ht="15" hidden="false" customHeight="false" outlineLevel="0" collapsed="false">
      <c r="A24" s="4" t="s">
        <v>24</v>
      </c>
      <c r="B24" s="5" t="n">
        <f aca="false">COUNTIF('Per-site breakdown'!$A$5:$A$39,A24)</f>
        <v>6</v>
      </c>
      <c r="C24" s="5" t="n">
        <f aca="false">SUMIFS('Per-site breakdown'!$G$5:$G$39,'Per-site breakdown'!$A$5:$A$39,A24)</f>
        <v>139</v>
      </c>
      <c r="D24" s="5" t="n">
        <f aca="false">SUMIFS('Per-site breakdown'!$J$5:$J$39,'Per-site breakdown'!$A$5:$A$39,A24)</f>
        <v>1266</v>
      </c>
      <c r="E24" s="5" t="n">
        <f aca="false">SUMIFS('Per-site breakdown'!$H$5:$H$39,'Per-site breakdown'!$A$5:$A$39,A24)</f>
        <v>1157</v>
      </c>
    </row>
    <row r="25" customFormat="false" ht="15" hidden="false" customHeight="false" outlineLevel="0" collapsed="false">
      <c r="A25" s="4" t="s">
        <v>25</v>
      </c>
      <c r="B25" s="5" t="n">
        <f aca="false">COUNTIF('Per-site breakdown'!$A$5:$A$39,A25)</f>
        <v>2</v>
      </c>
      <c r="C25" s="5" t="n">
        <f aca="false">SUMIFS('Per-site breakdown'!$G$5:$G$39,'Per-site breakdown'!$A$5:$A$39,A25)</f>
        <v>47</v>
      </c>
      <c r="D25" s="5" t="n">
        <f aca="false">SUMIFS('Per-site breakdown'!$J$5:$J$39,'Per-site breakdown'!$A$5:$A$39,A25)</f>
        <v>300</v>
      </c>
      <c r="E25" s="5" t="n">
        <f aca="false">SUMIFS('Per-site breakdown'!$H$5:$H$39,'Per-site breakdown'!$A$5:$A$39,A25)</f>
        <v>264</v>
      </c>
    </row>
    <row r="26" customFormat="false" ht="15" hidden="false" customHeight="false" outlineLevel="0" collapsed="false">
      <c r="A26" s="4" t="s">
        <v>26</v>
      </c>
      <c r="B26" s="5" t="n">
        <f aca="false">COUNTIF('Per-site breakdown'!$A$5:$A$39,A26)</f>
        <v>2</v>
      </c>
      <c r="C26" s="5" t="n">
        <f aca="false">SUMIFS('Per-site breakdown'!$G$5:$G$39,'Per-site breakdown'!$A$5:$A$39,A26)</f>
        <v>50</v>
      </c>
      <c r="D26" s="5" t="n">
        <f aca="false">SUMIFS('Per-site breakdown'!$J$5:$J$39,'Per-site breakdown'!$A$5:$A$39,A26)</f>
        <v>368</v>
      </c>
      <c r="E26" s="5" t="n">
        <f aca="false">SUMIFS('Per-site breakdown'!$H$5:$H$39,'Per-site breakdown'!$A$5:$A$39,A26)</f>
        <v>332</v>
      </c>
    </row>
    <row r="27" customFormat="false" ht="15" hidden="false" customHeight="false" outlineLevel="0" collapsed="false">
      <c r="A27" s="4" t="s">
        <v>27</v>
      </c>
      <c r="B27" s="5" t="n">
        <f aca="false">COUNTIF('Per-site breakdown'!$A$5:$A$39,A27)</f>
        <v>2</v>
      </c>
      <c r="C27" s="5" t="n">
        <f aca="false">SUMIFS('Per-site breakdown'!$G$5:$G$39,'Per-site breakdown'!$A$5:$A$39,A27)</f>
        <v>35</v>
      </c>
      <c r="D27" s="5" t="n">
        <f aca="false">SUMIFS('Per-site breakdown'!$J$5:$J$39,'Per-site breakdown'!$A$5:$A$39,A27)</f>
        <v>258</v>
      </c>
      <c r="E27" s="5" t="n">
        <f aca="false">SUMIFS('Per-site breakdown'!$H$5:$H$39,'Per-site breakdown'!$A$5:$A$39,A27)</f>
        <v>222</v>
      </c>
    </row>
    <row r="28" customFormat="false" ht="15" hidden="false" customHeight="false" outlineLevel="0" collapsed="false">
      <c r="A28" s="4" t="s">
        <v>28</v>
      </c>
      <c r="B28" s="5" t="n">
        <f aca="false">COUNTIF('Per-site breakdown'!$A$5:$A$39,A28)</f>
        <v>2</v>
      </c>
      <c r="C28" s="5" t="n">
        <f aca="false">SUMIFS('Per-site breakdown'!$G$5:$G$39,'Per-site breakdown'!$A$5:$A$39,A28)</f>
        <v>47</v>
      </c>
      <c r="D28" s="5" t="n">
        <f aca="false">SUMIFS('Per-site breakdown'!$J$5:$J$39,'Per-site breakdown'!$A$5:$A$39,A28)</f>
        <v>421</v>
      </c>
      <c r="E28" s="5" t="n">
        <f aca="false">SUMIFS('Per-site breakdown'!$H$5:$H$39,'Per-site breakdown'!$A$5:$A$39,A28)</f>
        <v>385</v>
      </c>
    </row>
    <row r="29" customFormat="false" ht="15" hidden="false" customHeight="false" outlineLevel="0" collapsed="false">
      <c r="A29" s="6" t="s">
        <v>29</v>
      </c>
      <c r="B29" s="7" t="n">
        <f aca="false">SUM(B17:B28)</f>
        <v>34</v>
      </c>
      <c r="C29" s="7" t="n">
        <f aca="false">SUM(C17:C28)</f>
        <v>771</v>
      </c>
      <c r="D29" s="7" t="n">
        <f aca="false">SUM(D17:D28)</f>
        <v>6320</v>
      </c>
      <c r="E29" s="7" t="n">
        <f aca="false">SUM(E17:E28)</f>
        <v>5707</v>
      </c>
    </row>
    <row r="31" customFormat="false" ht="15" hidden="false" customHeight="false" outlineLevel="0" collapsed="false">
      <c r="A31" s="8" t="s">
        <v>30</v>
      </c>
    </row>
    <row r="32" customFormat="false" ht="15" hidden="false" customHeight="false" outlineLevel="0" collapsed="false">
      <c r="A32" s="14" t="s">
        <v>31</v>
      </c>
    </row>
    <row r="33" customFormat="false" ht="15" hidden="false" customHeight="false" outlineLevel="0" collapsed="false">
      <c r="A33" s="14" t="s">
        <v>32</v>
      </c>
    </row>
    <row r="34" customFormat="false" ht="15" hidden="false" customHeight="false" outlineLevel="0" collapsed="false">
      <c r="A34" s="14" t="s">
        <v>33</v>
      </c>
    </row>
    <row r="35" customFormat="false" ht="15" hidden="false" customHeight="false" outlineLevel="0" collapsed="false">
      <c r="A35" s="14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9"/>
    <col collapsed="false" customWidth="true" hidden="false" outlineLevel="0" max="4" min="3" style="0" width="26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16"/>
  </cols>
  <sheetData>
    <row r="1" customFormat="false" ht="16.15" hidden="false" customHeight="false" outlineLevel="0" collapsed="false">
      <c r="A1" s="1" t="s">
        <v>35</v>
      </c>
    </row>
    <row r="2" customFormat="false" ht="15" hidden="false" customHeight="false" outlineLevel="0" collapsed="false">
      <c r="A2" s="2" t="s">
        <v>36</v>
      </c>
    </row>
    <row r="4" customFormat="false" ht="31.5" hidden="false" customHeight="true" outlineLevel="0" collapsed="false">
      <c r="A4" s="15" t="s">
        <v>37</v>
      </c>
      <c r="B4" s="15" t="s">
        <v>38</v>
      </c>
      <c r="C4" s="15" t="s">
        <v>39</v>
      </c>
      <c r="D4" s="15" t="s">
        <v>40</v>
      </c>
      <c r="E4" s="15" t="s">
        <v>41</v>
      </c>
      <c r="F4" s="15" t="s">
        <v>2</v>
      </c>
      <c r="G4" s="15" t="s">
        <v>42</v>
      </c>
      <c r="H4" s="15" t="s">
        <v>43</v>
      </c>
      <c r="I4" s="15" t="s">
        <v>44</v>
      </c>
      <c r="J4" s="15" t="s">
        <v>45</v>
      </c>
    </row>
    <row r="5" customFormat="false" ht="15" hidden="false" customHeight="false" outlineLevel="0" collapsed="false">
      <c r="A5" s="4" t="s">
        <v>17</v>
      </c>
      <c r="B5" s="4" t="n">
        <v>11</v>
      </c>
      <c r="C5" s="4" t="s">
        <v>46</v>
      </c>
      <c r="D5" s="4" t="s">
        <v>47</v>
      </c>
      <c r="E5" s="4" t="s">
        <v>48</v>
      </c>
      <c r="F5" s="4" t="s">
        <v>7</v>
      </c>
      <c r="G5" s="16" t="n">
        <v>25</v>
      </c>
      <c r="H5" s="16" t="n">
        <v>142</v>
      </c>
      <c r="I5" s="16" t="n">
        <v>19</v>
      </c>
      <c r="J5" s="5" t="n">
        <f aca="false">H5+I5</f>
        <v>161</v>
      </c>
    </row>
    <row r="6" customFormat="false" ht="15" hidden="false" customHeight="false" outlineLevel="0" collapsed="false">
      <c r="A6" s="4" t="s">
        <v>17</v>
      </c>
      <c r="B6" s="4" t="n">
        <v>12</v>
      </c>
      <c r="C6" s="4" t="s">
        <v>49</v>
      </c>
      <c r="D6" s="4" t="s">
        <v>50</v>
      </c>
      <c r="E6" s="4" t="s">
        <v>48</v>
      </c>
      <c r="F6" s="4" t="s">
        <v>7</v>
      </c>
      <c r="G6" s="16" t="n">
        <v>21</v>
      </c>
      <c r="H6" s="16" t="n">
        <v>85</v>
      </c>
      <c r="I6" s="16" t="n">
        <v>17</v>
      </c>
      <c r="J6" s="5" t="n">
        <f aca="false">H6+I6</f>
        <v>102</v>
      </c>
    </row>
    <row r="7" customFormat="false" ht="15" hidden="false" customHeight="false" outlineLevel="0" collapsed="false">
      <c r="A7" s="4" t="s">
        <v>18</v>
      </c>
      <c r="B7" s="4" t="n">
        <v>15</v>
      </c>
      <c r="C7" s="4" t="s">
        <v>51</v>
      </c>
      <c r="D7" s="4" t="s">
        <v>47</v>
      </c>
      <c r="E7" s="4" t="s">
        <v>52</v>
      </c>
      <c r="F7" s="4" t="s">
        <v>7</v>
      </c>
      <c r="G7" s="16" t="n">
        <v>26</v>
      </c>
      <c r="H7" s="16" t="n">
        <v>235</v>
      </c>
      <c r="I7" s="16" t="n">
        <v>19</v>
      </c>
      <c r="J7" s="5" t="n">
        <f aca="false">H7+I7</f>
        <v>254</v>
      </c>
    </row>
    <row r="8" customFormat="false" ht="15" hidden="false" customHeight="false" outlineLevel="0" collapsed="false">
      <c r="A8" s="4" t="s">
        <v>18</v>
      </c>
      <c r="B8" s="4" t="n">
        <v>16</v>
      </c>
      <c r="C8" s="4" t="s">
        <v>53</v>
      </c>
      <c r="D8" s="4" t="s">
        <v>50</v>
      </c>
      <c r="E8" s="4" t="s">
        <v>52</v>
      </c>
      <c r="F8" s="4" t="s">
        <v>7</v>
      </c>
      <c r="G8" s="16" t="n">
        <v>12</v>
      </c>
      <c r="H8" s="16" t="n">
        <v>71</v>
      </c>
      <c r="I8" s="16" t="n">
        <v>17</v>
      </c>
      <c r="J8" s="5" t="n">
        <f aca="false">H8+I8</f>
        <v>88</v>
      </c>
    </row>
    <row r="9" customFormat="false" ht="15" hidden="false" customHeight="false" outlineLevel="0" collapsed="false">
      <c r="A9" s="4" t="s">
        <v>18</v>
      </c>
      <c r="B9" s="4" t="n">
        <v>13</v>
      </c>
      <c r="C9" s="4" t="s">
        <v>54</v>
      </c>
      <c r="D9" s="4" t="s">
        <v>47</v>
      </c>
      <c r="E9" s="4" t="s">
        <v>55</v>
      </c>
      <c r="F9" s="4" t="s">
        <v>7</v>
      </c>
      <c r="G9" s="16" t="n">
        <v>26</v>
      </c>
      <c r="H9" s="16" t="n">
        <v>187</v>
      </c>
      <c r="I9" s="16" t="n">
        <v>19</v>
      </c>
      <c r="J9" s="5" t="n">
        <f aca="false">H9+I9</f>
        <v>206</v>
      </c>
    </row>
    <row r="10" customFormat="false" ht="15" hidden="false" customHeight="false" outlineLevel="0" collapsed="false">
      <c r="A10" s="4" t="s">
        <v>18</v>
      </c>
      <c r="B10" s="4" t="n">
        <v>14</v>
      </c>
      <c r="C10" s="4" t="s">
        <v>56</v>
      </c>
      <c r="D10" s="4" t="s">
        <v>50</v>
      </c>
      <c r="E10" s="4" t="s">
        <v>55</v>
      </c>
      <c r="F10" s="4" t="s">
        <v>7</v>
      </c>
      <c r="G10" s="16" t="n">
        <v>12</v>
      </c>
      <c r="H10" s="16" t="n">
        <v>71</v>
      </c>
      <c r="I10" s="16" t="n">
        <v>17</v>
      </c>
      <c r="J10" s="5" t="n">
        <f aca="false">H10+I10</f>
        <v>88</v>
      </c>
    </row>
    <row r="11" customFormat="false" ht="15" hidden="false" customHeight="false" outlineLevel="0" collapsed="false">
      <c r="A11" s="4" t="s">
        <v>19</v>
      </c>
      <c r="B11" s="4" t="n">
        <v>27</v>
      </c>
      <c r="C11" s="4" t="s">
        <v>57</v>
      </c>
      <c r="D11" s="4" t="s">
        <v>47</v>
      </c>
      <c r="E11" s="4" t="s">
        <v>58</v>
      </c>
      <c r="F11" s="4" t="s">
        <v>7</v>
      </c>
      <c r="G11" s="16" t="n">
        <v>25</v>
      </c>
      <c r="H11" s="16" t="n">
        <v>296</v>
      </c>
      <c r="I11" s="16" t="n">
        <v>19</v>
      </c>
      <c r="J11" s="5" t="n">
        <f aca="false">H11+I11</f>
        <v>315</v>
      </c>
    </row>
    <row r="12" customFormat="false" ht="15" hidden="false" customHeight="false" outlineLevel="0" collapsed="false">
      <c r="A12" s="4" t="s">
        <v>19</v>
      </c>
      <c r="B12" s="4" t="n">
        <v>35</v>
      </c>
      <c r="C12" s="4" t="s">
        <v>59</v>
      </c>
      <c r="D12" s="4" t="s">
        <v>50</v>
      </c>
      <c r="E12" s="4" t="s">
        <v>58</v>
      </c>
      <c r="F12" s="4" t="s">
        <v>7</v>
      </c>
      <c r="G12" s="16" t="n">
        <v>21</v>
      </c>
      <c r="H12" s="16" t="n">
        <v>107</v>
      </c>
      <c r="I12" s="16" t="n">
        <v>17</v>
      </c>
      <c r="J12" s="5" t="n">
        <f aca="false">H12+I12</f>
        <v>124</v>
      </c>
    </row>
    <row r="13" customFormat="false" ht="15" hidden="false" customHeight="false" outlineLevel="0" collapsed="false">
      <c r="A13" s="4" t="s">
        <v>19</v>
      </c>
      <c r="B13" s="4" t="n">
        <v>30</v>
      </c>
      <c r="C13" s="4" t="s">
        <v>60</v>
      </c>
      <c r="D13" s="4" t="s">
        <v>47</v>
      </c>
      <c r="E13" s="4" t="s">
        <v>48</v>
      </c>
      <c r="F13" s="4" t="s">
        <v>7</v>
      </c>
      <c r="G13" s="16" t="n">
        <v>25</v>
      </c>
      <c r="H13" s="16" t="n">
        <v>265</v>
      </c>
      <c r="I13" s="16" t="n">
        <v>19</v>
      </c>
      <c r="J13" s="5" t="n">
        <f aca="false">H13+I13</f>
        <v>284</v>
      </c>
    </row>
    <row r="14" customFormat="false" ht="15" hidden="false" customHeight="false" outlineLevel="0" collapsed="false">
      <c r="A14" s="4" t="s">
        <v>19</v>
      </c>
      <c r="B14" s="4" t="n">
        <v>31</v>
      </c>
      <c r="C14" s="4" t="s">
        <v>61</v>
      </c>
      <c r="D14" s="4" t="s">
        <v>50</v>
      </c>
      <c r="E14" s="4" t="s">
        <v>48</v>
      </c>
      <c r="F14" s="4" t="s">
        <v>7</v>
      </c>
      <c r="G14" s="16" t="n">
        <v>22</v>
      </c>
      <c r="H14" s="16" t="n">
        <v>90</v>
      </c>
      <c r="I14" s="16" t="n">
        <v>17</v>
      </c>
      <c r="J14" s="5" t="n">
        <f aca="false">H14+I14</f>
        <v>107</v>
      </c>
    </row>
    <row r="15" customFormat="false" ht="15" hidden="false" customHeight="false" outlineLevel="0" collapsed="false">
      <c r="A15" s="4" t="s">
        <v>19</v>
      </c>
      <c r="B15" s="4" t="n">
        <v>28</v>
      </c>
      <c r="C15" s="4" t="s">
        <v>62</v>
      </c>
      <c r="D15" s="4" t="s">
        <v>47</v>
      </c>
      <c r="E15" s="4" t="s">
        <v>52</v>
      </c>
      <c r="F15" s="4" t="s">
        <v>7</v>
      </c>
      <c r="G15" s="16" t="n">
        <v>25</v>
      </c>
      <c r="H15" s="16" t="n">
        <v>254</v>
      </c>
      <c r="I15" s="16" t="n">
        <v>19</v>
      </c>
      <c r="J15" s="5" t="n">
        <f aca="false">H15+I15</f>
        <v>273</v>
      </c>
    </row>
    <row r="16" customFormat="false" ht="15" hidden="false" customHeight="false" outlineLevel="0" collapsed="false">
      <c r="A16" s="4" t="s">
        <v>19</v>
      </c>
      <c r="B16" s="4" t="n">
        <v>29</v>
      </c>
      <c r="C16" s="4" t="s">
        <v>63</v>
      </c>
      <c r="D16" s="4" t="s">
        <v>50</v>
      </c>
      <c r="E16" s="4" t="s">
        <v>52</v>
      </c>
      <c r="F16" s="4" t="s">
        <v>7</v>
      </c>
      <c r="G16" s="16" t="n">
        <v>21</v>
      </c>
      <c r="H16" s="16" t="n">
        <v>90</v>
      </c>
      <c r="I16" s="16" t="n">
        <v>17</v>
      </c>
      <c r="J16" s="5" t="n">
        <f aca="false">H16+I16</f>
        <v>107</v>
      </c>
    </row>
    <row r="17" customFormat="false" ht="15" hidden="false" customHeight="false" outlineLevel="0" collapsed="false">
      <c r="A17" s="4" t="s">
        <v>20</v>
      </c>
      <c r="B17" s="4" t="n">
        <v>17</v>
      </c>
      <c r="C17" s="4" t="s">
        <v>64</v>
      </c>
      <c r="D17" s="4" t="s">
        <v>47</v>
      </c>
      <c r="E17" s="4" t="s">
        <v>48</v>
      </c>
      <c r="F17" s="4" t="s">
        <v>7</v>
      </c>
      <c r="G17" s="16" t="n">
        <v>27</v>
      </c>
      <c r="H17" s="16" t="n">
        <v>269</v>
      </c>
      <c r="I17" s="16" t="n">
        <v>19</v>
      </c>
      <c r="J17" s="5" t="n">
        <f aca="false">H17+I17</f>
        <v>288</v>
      </c>
    </row>
    <row r="18" customFormat="false" ht="15" hidden="false" customHeight="false" outlineLevel="0" collapsed="false">
      <c r="A18" s="4" t="s">
        <v>20</v>
      </c>
      <c r="B18" s="4" t="n">
        <v>18</v>
      </c>
      <c r="C18" s="4" t="s">
        <v>65</v>
      </c>
      <c r="D18" s="4" t="s">
        <v>50</v>
      </c>
      <c r="E18" s="4" t="s">
        <v>48</v>
      </c>
      <c r="F18" s="4" t="s">
        <v>7</v>
      </c>
      <c r="G18" s="16" t="n">
        <v>22</v>
      </c>
      <c r="H18" s="16" t="n">
        <v>91</v>
      </c>
      <c r="I18" s="16" t="n">
        <v>17</v>
      </c>
      <c r="J18" s="5" t="n">
        <f aca="false">H18+I18</f>
        <v>108</v>
      </c>
    </row>
    <row r="19" customFormat="false" ht="15" hidden="false" customHeight="false" outlineLevel="0" collapsed="false">
      <c r="A19" s="4" t="s">
        <v>21</v>
      </c>
      <c r="B19" s="4" t="n">
        <v>25</v>
      </c>
      <c r="C19" s="4" t="s">
        <v>66</v>
      </c>
      <c r="D19" s="4" t="s">
        <v>47</v>
      </c>
      <c r="E19" s="4" t="s">
        <v>67</v>
      </c>
      <c r="F19" s="4" t="s">
        <v>7</v>
      </c>
      <c r="G19" s="16" t="n">
        <v>26</v>
      </c>
      <c r="H19" s="16" t="n">
        <v>262</v>
      </c>
      <c r="I19" s="16" t="n">
        <v>19</v>
      </c>
      <c r="J19" s="5" t="n">
        <f aca="false">H19+I19</f>
        <v>281</v>
      </c>
    </row>
    <row r="20" customFormat="false" ht="15" hidden="false" customHeight="false" outlineLevel="0" collapsed="false">
      <c r="A20" s="4" t="s">
        <v>21</v>
      </c>
      <c r="B20" s="4" t="n">
        <v>26</v>
      </c>
      <c r="C20" s="4" t="s">
        <v>68</v>
      </c>
      <c r="D20" s="4" t="s">
        <v>50</v>
      </c>
      <c r="E20" s="4" t="s">
        <v>67</v>
      </c>
      <c r="F20" s="4" t="s">
        <v>7</v>
      </c>
      <c r="G20" s="16" t="n">
        <v>22</v>
      </c>
      <c r="H20" s="16" t="n">
        <v>105</v>
      </c>
      <c r="I20" s="16" t="n">
        <v>17</v>
      </c>
      <c r="J20" s="5" t="n">
        <f aca="false">H20+I20</f>
        <v>122</v>
      </c>
    </row>
    <row r="21" customFormat="false" ht="15" hidden="false" customHeight="false" outlineLevel="0" collapsed="false">
      <c r="A21" s="4" t="s">
        <v>22</v>
      </c>
      <c r="B21" s="4" t="n">
        <v>19</v>
      </c>
      <c r="C21" s="4" t="s">
        <v>69</v>
      </c>
      <c r="D21" s="4" t="s">
        <v>47</v>
      </c>
      <c r="E21" s="4" t="s">
        <v>52</v>
      </c>
      <c r="F21" s="4" t="s">
        <v>7</v>
      </c>
      <c r="G21" s="16" t="n">
        <v>25</v>
      </c>
      <c r="H21" s="16" t="n">
        <v>247</v>
      </c>
      <c r="I21" s="16" t="n">
        <v>19</v>
      </c>
      <c r="J21" s="5" t="n">
        <f aca="false">H21+I21</f>
        <v>266</v>
      </c>
    </row>
    <row r="22" customFormat="false" ht="15" hidden="false" customHeight="false" outlineLevel="0" collapsed="false">
      <c r="A22" s="4" t="s">
        <v>22</v>
      </c>
      <c r="B22" s="4" t="n">
        <v>22</v>
      </c>
      <c r="C22" s="4" t="s">
        <v>70</v>
      </c>
      <c r="D22" s="4" t="s">
        <v>50</v>
      </c>
      <c r="E22" s="4" t="s">
        <v>52</v>
      </c>
      <c r="F22" s="4" t="s">
        <v>7</v>
      </c>
      <c r="G22" s="16" t="n">
        <v>21</v>
      </c>
      <c r="H22" s="16" t="n">
        <v>89</v>
      </c>
      <c r="I22" s="16" t="n">
        <v>17</v>
      </c>
      <c r="J22" s="5" t="n">
        <f aca="false">H22+I22</f>
        <v>106</v>
      </c>
    </row>
    <row r="23" customFormat="false" ht="15" hidden="false" customHeight="false" outlineLevel="0" collapsed="false">
      <c r="A23" s="4" t="s">
        <v>23</v>
      </c>
      <c r="B23" s="4" t="n">
        <v>20</v>
      </c>
      <c r="C23" s="4" t="s">
        <v>71</v>
      </c>
      <c r="D23" s="4" t="s">
        <v>47</v>
      </c>
      <c r="E23" s="4" t="s">
        <v>72</v>
      </c>
      <c r="F23" s="4" t="s">
        <v>7</v>
      </c>
      <c r="G23" s="16" t="n">
        <v>28</v>
      </c>
      <c r="H23" s="16" t="n">
        <v>286</v>
      </c>
      <c r="I23" s="16" t="n">
        <v>19</v>
      </c>
      <c r="J23" s="5" t="n">
        <f aca="false">H23+I23</f>
        <v>305</v>
      </c>
    </row>
    <row r="24" customFormat="false" ht="15" hidden="false" customHeight="false" outlineLevel="0" collapsed="false">
      <c r="A24" s="4" t="s">
        <v>23</v>
      </c>
      <c r="B24" s="4" t="n">
        <v>21</v>
      </c>
      <c r="C24" s="4" t="s">
        <v>73</v>
      </c>
      <c r="D24" s="4" t="s">
        <v>50</v>
      </c>
      <c r="E24" s="4" t="s">
        <v>72</v>
      </c>
      <c r="F24" s="4" t="s">
        <v>7</v>
      </c>
      <c r="G24" s="16" t="n">
        <v>21</v>
      </c>
      <c r="H24" s="16" t="n">
        <v>105</v>
      </c>
      <c r="I24" s="16" t="n">
        <v>17</v>
      </c>
      <c r="J24" s="5" t="n">
        <f aca="false">H24+I24</f>
        <v>122</v>
      </c>
    </row>
    <row r="25" customFormat="false" ht="15" hidden="false" customHeight="false" outlineLevel="0" collapsed="false">
      <c r="A25" s="4" t="s">
        <v>24</v>
      </c>
      <c r="B25" s="4" t="n">
        <v>2</v>
      </c>
      <c r="C25" s="4" t="s">
        <v>74</v>
      </c>
      <c r="D25" s="4" t="s">
        <v>47</v>
      </c>
      <c r="E25" s="4" t="s">
        <v>58</v>
      </c>
      <c r="F25" s="4" t="s">
        <v>7</v>
      </c>
      <c r="G25" s="16" t="n">
        <v>26</v>
      </c>
      <c r="H25" s="16" t="n">
        <v>311</v>
      </c>
      <c r="I25" s="16" t="n">
        <v>20</v>
      </c>
      <c r="J25" s="5" t="n">
        <f aca="false">H25+I25</f>
        <v>331</v>
      </c>
    </row>
    <row r="26" customFormat="false" ht="15" hidden="false" customHeight="false" outlineLevel="0" collapsed="false">
      <c r="A26" s="4" t="s">
        <v>24</v>
      </c>
      <c r="B26" s="4" t="n">
        <v>6</v>
      </c>
      <c r="C26" s="4" t="s">
        <v>75</v>
      </c>
      <c r="D26" s="4" t="s">
        <v>50</v>
      </c>
      <c r="E26" s="4" t="s">
        <v>58</v>
      </c>
      <c r="F26" s="4" t="s">
        <v>7</v>
      </c>
      <c r="G26" s="16" t="n">
        <v>21</v>
      </c>
      <c r="H26" s="16" t="n">
        <v>108</v>
      </c>
      <c r="I26" s="16" t="n">
        <v>17</v>
      </c>
      <c r="J26" s="5" t="n">
        <f aca="false">H26+I26</f>
        <v>125</v>
      </c>
    </row>
    <row r="27" customFormat="false" ht="15" hidden="false" customHeight="false" outlineLevel="0" collapsed="false">
      <c r="A27" s="4" t="s">
        <v>24</v>
      </c>
      <c r="B27" s="4" t="n">
        <v>9</v>
      </c>
      <c r="C27" s="4" t="s">
        <v>76</v>
      </c>
      <c r="D27" s="4" t="s">
        <v>47</v>
      </c>
      <c r="E27" s="4" t="s">
        <v>48</v>
      </c>
      <c r="F27" s="4" t="s">
        <v>7</v>
      </c>
      <c r="G27" s="16" t="n">
        <v>25</v>
      </c>
      <c r="H27" s="16" t="n">
        <v>269</v>
      </c>
      <c r="I27" s="16" t="n">
        <v>19</v>
      </c>
      <c r="J27" s="5" t="n">
        <f aca="false">H27+I27</f>
        <v>288</v>
      </c>
    </row>
    <row r="28" customFormat="false" ht="15" hidden="false" customHeight="false" outlineLevel="0" collapsed="false">
      <c r="A28" s="4" t="s">
        <v>24</v>
      </c>
      <c r="B28" s="4" t="n">
        <v>10</v>
      </c>
      <c r="C28" s="4" t="s">
        <v>77</v>
      </c>
      <c r="D28" s="4" t="s">
        <v>50</v>
      </c>
      <c r="E28" s="4" t="s">
        <v>48</v>
      </c>
      <c r="F28" s="4" t="s">
        <v>7</v>
      </c>
      <c r="G28" s="16" t="n">
        <v>21</v>
      </c>
      <c r="H28" s="16" t="n">
        <v>104</v>
      </c>
      <c r="I28" s="16" t="n">
        <v>17</v>
      </c>
      <c r="J28" s="5" t="n">
        <f aca="false">H28+I28</f>
        <v>121</v>
      </c>
    </row>
    <row r="29" customFormat="false" ht="15" hidden="false" customHeight="false" outlineLevel="0" collapsed="false">
      <c r="A29" s="4" t="s">
        <v>24</v>
      </c>
      <c r="B29" s="4" t="n">
        <v>7</v>
      </c>
      <c r="C29" s="4" t="s">
        <v>78</v>
      </c>
      <c r="D29" s="4" t="s">
        <v>47</v>
      </c>
      <c r="E29" s="4" t="s">
        <v>52</v>
      </c>
      <c r="F29" s="4" t="s">
        <v>7</v>
      </c>
      <c r="G29" s="16" t="n">
        <v>25</v>
      </c>
      <c r="H29" s="16" t="n">
        <v>261</v>
      </c>
      <c r="I29" s="16" t="n">
        <v>19</v>
      </c>
      <c r="J29" s="5" t="n">
        <f aca="false">H29+I29</f>
        <v>280</v>
      </c>
    </row>
    <row r="30" customFormat="false" ht="15" hidden="false" customHeight="false" outlineLevel="0" collapsed="false">
      <c r="A30" s="4" t="s">
        <v>24</v>
      </c>
      <c r="B30" s="4" t="n">
        <v>8</v>
      </c>
      <c r="C30" s="4" t="s">
        <v>79</v>
      </c>
      <c r="D30" s="4" t="s">
        <v>50</v>
      </c>
      <c r="E30" s="4" t="s">
        <v>52</v>
      </c>
      <c r="F30" s="4" t="s">
        <v>7</v>
      </c>
      <c r="G30" s="16" t="n">
        <v>21</v>
      </c>
      <c r="H30" s="16" t="n">
        <v>104</v>
      </c>
      <c r="I30" s="16" t="n">
        <v>17</v>
      </c>
      <c r="J30" s="5" t="n">
        <f aca="false">H30+I30</f>
        <v>121</v>
      </c>
    </row>
    <row r="31" customFormat="false" ht="15" hidden="false" customHeight="false" outlineLevel="0" collapsed="false">
      <c r="A31" s="4" t="s">
        <v>25</v>
      </c>
      <c r="B31" s="4" t="n">
        <v>23</v>
      </c>
      <c r="C31" s="4" t="s">
        <v>80</v>
      </c>
      <c r="D31" s="4" t="s">
        <v>47</v>
      </c>
      <c r="E31" s="4" t="s">
        <v>55</v>
      </c>
      <c r="F31" s="4" t="s">
        <v>7</v>
      </c>
      <c r="G31" s="16" t="n">
        <v>25</v>
      </c>
      <c r="H31" s="16" t="n">
        <v>175</v>
      </c>
      <c r="I31" s="16" t="n">
        <v>19</v>
      </c>
      <c r="J31" s="5" t="n">
        <f aca="false">H31+I31</f>
        <v>194</v>
      </c>
    </row>
    <row r="32" customFormat="false" ht="15" hidden="false" customHeight="false" outlineLevel="0" collapsed="false">
      <c r="A32" s="4" t="s">
        <v>25</v>
      </c>
      <c r="B32" s="4" t="n">
        <v>24</v>
      </c>
      <c r="C32" s="4" t="s">
        <v>81</v>
      </c>
      <c r="D32" s="4" t="s">
        <v>50</v>
      </c>
      <c r="E32" s="4" t="s">
        <v>55</v>
      </c>
      <c r="F32" s="4" t="s">
        <v>7</v>
      </c>
      <c r="G32" s="16" t="n">
        <v>22</v>
      </c>
      <c r="H32" s="16" t="n">
        <v>89</v>
      </c>
      <c r="I32" s="16" t="n">
        <v>17</v>
      </c>
      <c r="J32" s="5" t="n">
        <f aca="false">H32+I32</f>
        <v>106</v>
      </c>
    </row>
    <row r="33" customFormat="false" ht="15" hidden="false" customHeight="false" outlineLevel="0" collapsed="false">
      <c r="A33" s="4" t="s">
        <v>26</v>
      </c>
      <c r="B33" s="4" t="n">
        <v>36</v>
      </c>
      <c r="C33" s="4" t="s">
        <v>82</v>
      </c>
      <c r="D33" s="4" t="s">
        <v>47</v>
      </c>
      <c r="E33" s="4" t="s">
        <v>83</v>
      </c>
      <c r="F33" s="4" t="s">
        <v>7</v>
      </c>
      <c r="G33" s="16" t="n">
        <v>28</v>
      </c>
      <c r="H33" s="16" t="n">
        <v>228</v>
      </c>
      <c r="I33" s="16" t="n">
        <v>19</v>
      </c>
      <c r="J33" s="5" t="n">
        <f aca="false">H33+I33</f>
        <v>247</v>
      </c>
    </row>
    <row r="34" customFormat="false" ht="15" hidden="false" customHeight="false" outlineLevel="0" collapsed="false">
      <c r="A34" s="4" t="s">
        <v>26</v>
      </c>
      <c r="B34" s="4" t="n">
        <v>37</v>
      </c>
      <c r="C34" s="4" t="s">
        <v>84</v>
      </c>
      <c r="D34" s="4" t="s">
        <v>50</v>
      </c>
      <c r="E34" s="4" t="s">
        <v>83</v>
      </c>
      <c r="F34" s="4" t="s">
        <v>7</v>
      </c>
      <c r="G34" s="16" t="n">
        <v>22</v>
      </c>
      <c r="H34" s="16" t="n">
        <v>104</v>
      </c>
      <c r="I34" s="16" t="n">
        <v>17</v>
      </c>
      <c r="J34" s="5" t="n">
        <f aca="false">H34+I34</f>
        <v>121</v>
      </c>
    </row>
    <row r="35" customFormat="false" ht="15" hidden="false" customHeight="false" outlineLevel="0" collapsed="false">
      <c r="A35" s="4" t="s">
        <v>27</v>
      </c>
      <c r="B35" s="4" t="n">
        <v>34</v>
      </c>
      <c r="C35" s="4" t="s">
        <v>85</v>
      </c>
      <c r="D35" s="4" t="s">
        <v>86</v>
      </c>
      <c r="E35" s="4" t="s">
        <v>58</v>
      </c>
      <c r="F35" s="4" t="s">
        <v>7</v>
      </c>
      <c r="G35" s="16" t="n">
        <v>18</v>
      </c>
      <c r="H35" s="16" t="n">
        <v>143</v>
      </c>
      <c r="I35" s="16" t="n">
        <v>19</v>
      </c>
      <c r="J35" s="5" t="n">
        <f aca="false">H35+I35</f>
        <v>162</v>
      </c>
    </row>
    <row r="36" customFormat="false" ht="15" hidden="false" customHeight="false" outlineLevel="0" collapsed="false">
      <c r="A36" s="4" t="s">
        <v>27</v>
      </c>
      <c r="B36" s="4" t="n">
        <v>39</v>
      </c>
      <c r="C36" s="4" t="s">
        <v>87</v>
      </c>
      <c r="D36" s="4" t="s">
        <v>88</v>
      </c>
      <c r="E36" s="4" t="s">
        <v>58</v>
      </c>
      <c r="F36" s="4" t="s">
        <v>7</v>
      </c>
      <c r="G36" s="16" t="n">
        <v>17</v>
      </c>
      <c r="H36" s="16" t="n">
        <v>79</v>
      </c>
      <c r="I36" s="16" t="n">
        <v>17</v>
      </c>
      <c r="J36" s="5" t="n">
        <f aca="false">H36+I36</f>
        <v>96</v>
      </c>
    </row>
    <row r="37" customFormat="false" ht="15" hidden="false" customHeight="false" outlineLevel="0" collapsed="false">
      <c r="A37" s="4" t="s">
        <v>28</v>
      </c>
      <c r="B37" s="4" t="n">
        <v>32</v>
      </c>
      <c r="C37" s="4" t="s">
        <v>89</v>
      </c>
      <c r="D37" s="4" t="s">
        <v>47</v>
      </c>
      <c r="E37" s="4" t="s">
        <v>58</v>
      </c>
      <c r="F37" s="4" t="s">
        <v>7</v>
      </c>
      <c r="G37" s="16" t="n">
        <v>26</v>
      </c>
      <c r="H37" s="16" t="n">
        <v>291</v>
      </c>
      <c r="I37" s="16" t="n">
        <v>19</v>
      </c>
      <c r="J37" s="5" t="n">
        <f aca="false">H37+I37</f>
        <v>310</v>
      </c>
    </row>
    <row r="38" customFormat="false" ht="15" hidden="false" customHeight="false" outlineLevel="0" collapsed="false">
      <c r="A38" s="4" t="s">
        <v>28</v>
      </c>
      <c r="B38" s="4" t="n">
        <v>33</v>
      </c>
      <c r="C38" s="4" t="s">
        <v>90</v>
      </c>
      <c r="D38" s="4" t="s">
        <v>50</v>
      </c>
      <c r="E38" s="4" t="s">
        <v>58</v>
      </c>
      <c r="F38" s="4" t="s">
        <v>7</v>
      </c>
      <c r="G38" s="16" t="n">
        <v>21</v>
      </c>
      <c r="H38" s="16" t="n">
        <v>94</v>
      </c>
      <c r="I38" s="16" t="n">
        <v>17</v>
      </c>
      <c r="J38" s="5" t="n">
        <f aca="false">H38+I38</f>
        <v>111</v>
      </c>
    </row>
    <row r="39" customFormat="false" ht="15" hidden="false" customHeight="false" outlineLevel="0" collapsed="false">
      <c r="A39" s="4" t="s">
        <v>8</v>
      </c>
      <c r="B39" s="4" t="n">
        <v>4</v>
      </c>
      <c r="C39" s="4" t="s">
        <v>91</v>
      </c>
      <c r="D39" s="4" t="s">
        <v>92</v>
      </c>
      <c r="E39" s="4" t="s">
        <v>58</v>
      </c>
      <c r="F39" s="4" t="s">
        <v>8</v>
      </c>
      <c r="G39" s="16" t="n">
        <v>24</v>
      </c>
      <c r="H39" s="16" t="n">
        <v>217</v>
      </c>
      <c r="I39" s="16" t="n">
        <v>21</v>
      </c>
      <c r="J39" s="5" t="n">
        <f aca="false">H39+I39</f>
        <v>238</v>
      </c>
    </row>
    <row r="40" customFormat="false" ht="15" hidden="false" customHeight="false" outlineLevel="0" collapsed="false">
      <c r="A40" s="6" t="s">
        <v>93</v>
      </c>
      <c r="B40" s="6"/>
      <c r="C40" s="6"/>
      <c r="D40" s="6"/>
      <c r="E40" s="6"/>
      <c r="F40" s="6"/>
      <c r="G40" s="7" t="n">
        <f aca="false">SUM(G5:G39)</f>
        <v>795</v>
      </c>
      <c r="H40" s="7" t="n">
        <f aca="false">SUM(H5:H39)</f>
        <v>5924</v>
      </c>
      <c r="I40" s="7" t="n">
        <f aca="false">SUM(I5:I39)</f>
        <v>634</v>
      </c>
      <c r="J40" s="7" t="n">
        <f aca="false">SUM(J5:J39)</f>
        <v>6558</v>
      </c>
    </row>
    <row r="42" customFormat="false" ht="15" hidden="false" customHeight="false" outlineLevel="0" collapsed="false">
      <c r="A42" s="8" t="s">
        <v>94</v>
      </c>
    </row>
    <row r="43" customFormat="false" ht="15" hidden="false" customHeight="false" outlineLevel="0" collapsed="false">
      <c r="A43" s="14" t="s">
        <v>95</v>
      </c>
    </row>
    <row r="44" customFormat="false" ht="15" hidden="false" customHeight="false" outlineLevel="0" collapsed="false">
      <c r="A44" s="14" t="s">
        <v>96</v>
      </c>
    </row>
    <row r="45" customFormat="false" ht="15" hidden="false" customHeight="false" outlineLevel="0" collapsed="false">
      <c r="A45" s="14" t="s">
        <v>97</v>
      </c>
    </row>
    <row r="46" customFormat="false" ht="15" hidden="false" customHeight="false" outlineLevel="0" collapsed="false">
      <c r="A46" s="14" t="s">
        <v>98</v>
      </c>
    </row>
  </sheetData>
  <autoFilter ref="A4:J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2026-10-06T16:43:41Z</dcterms:created>
  <dc:creator>openpyxl</dc:creator>
  <dc:description/>
  <dc:language>en-US</dc:language>
  <cp:lastModifiedBy/>
  <dcterms:modified xsi:type="dcterms:W3CDTF">2026-10-06T16:43:42Z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